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65d939da4e4e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sentes" sheetId="1" r:id="Re903682a41844ea6"/>
    <x:sheet xmlns:r="http://schemas.openxmlformats.org/officeDocument/2006/relationships" name="Configuração" sheetId="2" r:id="Rdfff4a0b994843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R$ #,##0.00"/>
    <x:numFmt numFmtId="201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6B705C"/>
      </x:patternFill>
    </x:fill>
    <x:fill>
      <x:patternFill patternType="solid">
        <x:fgColor rgb="FFC56F52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dc4504c67141fd" /><Relationship Type="http://schemas.openxmlformats.org/officeDocument/2006/relationships/theme" Target="/xl/theme/theme1.xml" Id="Rf20cf82f6601417e" /><Relationship Type="http://schemas.openxmlformats.org/officeDocument/2006/relationships/sharedStrings" Target="/xl/sharedStrings.xml" Id="Re9271de540ee4400" /><Relationship Type="http://schemas.openxmlformats.org/officeDocument/2006/relationships/worksheet" Target="/xl/worksheets/sheet1.xml" Id="Re903682a41844ea6" /><Relationship Type="http://schemas.openxmlformats.org/officeDocument/2006/relationships/worksheet" Target="/xl/worksheets/sheet2.xml" Id="Rdfff4a0b994843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48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36" hidden="0" customWidth="1"/>
    <x:col min="9" max="9" width="16" hidden="0" customWidth="1"/>
    <x:col min="10" max="10" width="10" hidden="0" customWidth="1"/>
    <x:col min="11" max="11" width="10" hidden="0" customWidth="1"/>
  </x:cols>
  <x:sheetData>
    <x:row r="1" ht="28" customHeight="1">
      <x:c r="A1" s="10" t="str">
        <x:v>id</x:v>
      </x:c>
      <x:c r="B1" s="10" t="str">
        <x:v>nome</x:v>
      </x:c>
      <x:c r="C1" s="10" t="str">
        <x:v>descricao</x:v>
      </x:c>
      <x:c r="D1" s="10" t="str">
        <x:v>valor_liquido</x:v>
      </x:c>
      <x:c r="E1" s="10" t="str">
        <x:v>taxa</x:v>
      </x:c>
      <x:c r="F1" s="10" t="str">
        <x:v>valor</x:v>
      </x:c>
      <x:c r="G1" s="10" t="str">
        <x:v>imagem</x:v>
      </x:c>
      <x:c r="H1" s="10" t="str">
        <x:v>link_pagamento</x:v>
      </x:c>
      <x:c r="I1" s="10" t="str">
        <x:v>categoria</x:v>
      </x:c>
      <x:c r="J1" s="10" t="str">
        <x:v>ordem</x:v>
      </x:c>
      <x:c r="K1" s="10" t="str">
        <x:v>ativo</x:v>
      </x:c>
    </x:row>
    <x:row r="2" ht="42" customHeight="1">
      <x:c r="A2" s="18" t="n">
        <x:v>1</x:v>
      </x:c>
      <x:c r="B2" s="11" t="str">
        <x:v>Café para o André funcionar</x:v>
      </x:c>
      <x:c r="C2" s="11" t="str">
        <x:v>Porque engenheiro sem café vira apenas um ser humano comum.</x:v>
      </x:c>
      <x:c r="D2" s="14" t="n">
        <x:v>50.07</x:v>
      </x:c>
      <x:c r="E2" s="16" t="n">
        <x:v>0.12</x:v>
      </x:c>
      <x:c r="F2" s="14" t="n">
        <x:f>ROUND(D2/(1-E2),2)</x:f>
        <x:v>56.9</x:v>
      </x:c>
      <x:c r="G2" s="11" t="str">
        <x:v>presente-01.jpg</x:v>
      </x:c>
      <x:c r="H2" s="11" t="str">
        <x:v>COLE_AQUI_O_LINK_MERCADO_PAGO_01</x:v>
      </x:c>
      <x:c r="I2" s="18" t="str">
        <x:v>Engraçado</x:v>
      </x:c>
      <x:c r="J2" s="18" t="n">
        <x:v>1</x:v>
      </x:c>
      <x:c r="K2" s="18" t="str">
        <x:v>SIM</x:v>
      </x:c>
    </x:row>
    <x:row r="3" ht="42" customHeight="1">
      <x:c r="A3" s="18" t="n">
        <x:v>2</x:v>
      </x:c>
      <x:c r="B3" s="11" t="str">
        <x:v>Chocolate para a Thaís</x:v>
      </x:c>
      <x:c r="C3" s="11" t="str">
        <x:v>Dizem que chocolate resolve tudo. Vamos testar cientificamente.</x:v>
      </x:c>
      <x:c r="D3" s="14" t="n">
        <x:v>60.19</x:v>
      </x:c>
      <x:c r="E3" s="16" t="n">
        <x:v>0.12</x:v>
      </x:c>
      <x:c r="F3" s="14" t="n">
        <x:f>ROUND(D3/(1-E3),2)</x:f>
        <x:v>68.4</x:v>
      </x:c>
      <x:c r="G3" s="11" t="str">
        <x:v>presente-02.jpg</x:v>
      </x:c>
      <x:c r="H3" s="11" t="str">
        <x:v>COLE_AQUI_O_LINK_MERCADO_PAGO_02</x:v>
      </x:c>
      <x:c r="I3" s="18" t="str">
        <x:v>Engraçado</x:v>
      </x:c>
      <x:c r="J3" s="18" t="n">
        <x:v>2</x:v>
      </x:c>
      <x:c r="K3" s="18" t="str">
        <x:v>SIM</x:v>
      </x:c>
    </x:row>
    <x:row r="4" ht="42" customHeight="1">
      <x:c r="A4" s="18" t="n">
        <x:v>3</x:v>
      </x:c>
      <x:c r="B4" s="11" t="str">
        <x:v>Sorvete da reconciliação</x:v>
      </x:c>
      <x:c r="C4" s="11" t="str">
        <x:v>Esperamos nunca precisar... mas é melhor prevenir.</x:v>
      </x:c>
      <x:c r="D4" s="14" t="n">
        <x:v>72.34</x:v>
      </x:c>
      <x:c r="E4" s="16" t="n">
        <x:v>0.12</x:v>
      </x:c>
      <x:c r="F4" s="14" t="n">
        <x:f>ROUND(D4/(1-E4),2)</x:f>
        <x:v>82.2</x:v>
      </x:c>
      <x:c r="G4" s="11" t="str">
        <x:v>presente-03.jpg</x:v>
      </x:c>
      <x:c r="H4" s="11" t="str">
        <x:v>COLE_AQUI_O_LINK_MERCADO_PAGO_03</x:v>
      </x:c>
      <x:c r="I4" s="18" t="str">
        <x:v>Engraçado</x:v>
      </x:c>
      <x:c r="J4" s="18" t="n">
        <x:v>3</x:v>
      </x:c>
      <x:c r="K4" s="18" t="str">
        <x:v>SIM</x:v>
      </x:c>
    </x:row>
    <x:row r="5" ht="42" customHeight="1">
      <x:c r="A5" s="18" t="n">
        <x:v>4</x:v>
      </x:c>
      <x:c r="B5" s="11" t="str">
        <x:v>Primeira pizza de casados</x:v>
      </x:c>
      <x:c r="C5" s="11" t="str">
        <x:v>Porque cozinhar no primeiro dia pode ser um risco desnecessário.</x:v>
      </x:c>
      <x:c r="D5" s="14" t="n">
        <x:v>85.63</x:v>
      </x:c>
      <x:c r="E5" s="16" t="n">
        <x:v>0.12</x:v>
      </x:c>
      <x:c r="F5" s="14" t="n">
        <x:f>ROUND(D5/(1-E5),2)</x:f>
        <x:v>97.31</x:v>
      </x:c>
      <x:c r="G5" s="11" t="str">
        <x:v>presente-04.jpg</x:v>
      </x:c>
      <x:c r="H5" s="11" t="str">
        <x:v>COLE_AQUI_O_LINK_MERCADO_PAGO_04</x:v>
      </x:c>
      <x:c r="I5" s="18" t="str">
        <x:v>Engraçado</x:v>
      </x:c>
      <x:c r="J5" s="18" t="n">
        <x:v>4</x:v>
      </x:c>
      <x:c r="K5" s="18" t="str">
        <x:v>SIM</x:v>
      </x:c>
    </x:row>
    <x:row r="6" ht="42" customHeight="1">
      <x:c r="A6" s="18" t="n">
        <x:v>5</x:v>
      </x:c>
      <x:c r="B6" s="11" t="str">
        <x:v>Noite de filme sem discussão</x:v>
      </x:c>
      <x:c r="C6" s="11" t="str">
        <x:v>Se conseguirmos escolher em menos de vinte minutos, já será uma vitória.</x:v>
      </x:c>
      <x:c r="D6" s="14" t="n">
        <x:v>98.41</x:v>
      </x:c>
      <x:c r="E6" s="16" t="n">
        <x:v>0.12</x:v>
      </x:c>
      <x:c r="F6" s="14" t="n">
        <x:f>ROUND(D6/(1-E6),2)</x:f>
        <x:v>111.83</x:v>
      </x:c>
      <x:c r="G6" s="11" t="str">
        <x:v>presente-05.jpg</x:v>
      </x:c>
      <x:c r="H6" s="11" t="str">
        <x:v>COLE_AQUI_O_LINK_MERCADO_PAGO_05</x:v>
      </x:c>
      <x:c r="I6" s="18" t="str">
        <x:v>Engraçado</x:v>
      </x:c>
      <x:c r="J6" s="18" t="n">
        <x:v>5</x:v>
      </x:c>
      <x:c r="K6" s="18" t="str">
        <x:v>SIM</x:v>
      </x:c>
    </x:row>
    <x:row r="7" ht="42" customHeight="1">
      <x:c r="A7" s="18" t="n">
        <x:v>6</x:v>
      </x:c>
      <x:c r="B7" s="11" t="str">
        <x:v>Ingredientes para o risoto do André</x:v>
      </x:c>
      <x:c r="C7" s="11" t="str">
        <x:v>O cozinheiro amador promete seguir a receita. Talvez.</x:v>
      </x:c>
      <x:c r="D7" s="14" t="n">
        <x:v>112.76</x:v>
      </x:c>
      <x:c r="E7" s="16" t="n">
        <x:v>0.12</x:v>
      </x:c>
      <x:c r="F7" s="14" t="n">
        <x:f>ROUND(D7/(1-E7),2)</x:f>
        <x:v>128.14</x:v>
      </x:c>
      <x:c r="G7" s="11" t="str">
        <x:v>presente-06.jpg</x:v>
      </x:c>
      <x:c r="H7" s="11" t="str">
        <x:v>COLE_AQUI_O_LINK_MERCADO_PAGO_06</x:v>
      </x:c>
      <x:c r="I7" s="18" t="str">
        <x:v>Casamento</x:v>
      </x:c>
      <x:c r="J7" s="18" t="n">
        <x:v>6</x:v>
      </x:c>
      <x:c r="K7" s="18" t="str">
        <x:v>SIM</x:v>
      </x:c>
    </x:row>
    <x:row r="8" ht="42" customHeight="1">
      <x:c r="A8" s="18" t="n">
        <x:v>7</x:v>
      </x:c>
      <x:c r="B8" s="11" t="str">
        <x:v>Vale 'Hoje eu lavo a louça'</x:v>
      </x:c>
      <x:c r="C8" s="11" t="str">
        <x:v>Um presente simples, simbólico e extremamente valioso.</x:v>
      </x:c>
      <x:c r="D8" s="14" t="n">
        <x:v>129.55</x:v>
      </x:c>
      <x:c r="E8" s="16" t="n">
        <x:v>0.12</x:v>
      </x:c>
      <x:c r="F8" s="14" t="n">
        <x:f>ROUND(D8/(1-E8),2)</x:f>
        <x:v>147.22</x:v>
      </x:c>
      <x:c r="G8" s="11" t="str">
        <x:v>presente-07.jpg</x:v>
      </x:c>
      <x:c r="H8" s="11" t="str">
        <x:v>COLE_AQUI_O_LINK_MERCADO_PAGO_07</x:v>
      </x:c>
      <x:c r="I8" s="18" t="str">
        <x:v>Engraçado</x:v>
      </x:c>
      <x:c r="J8" s="18" t="n">
        <x:v>7</x:v>
      </x:c>
      <x:c r="K8" s="18" t="str">
        <x:v>SIM</x:v>
      </x:c>
    </x:row>
    <x:row r="9" ht="42" customHeight="1">
      <x:c r="A9" s="18" t="n">
        <x:v>8</x:v>
      </x:c>
      <x:c r="B9" s="11" t="str">
        <x:v>Vinho para o primeiro brinde</x:v>
      </x:c>
      <x:c r="C9" s="11" t="str">
        <x:v>Aos acertos, aos improvisos e à vida a dois.</x:v>
      </x:c>
      <x:c r="D9" s="14" t="n">
        <x:v>151.28</x:v>
      </x:c>
      <x:c r="E9" s="16" t="n">
        <x:v>0.12</x:v>
      </x:c>
      <x:c r="F9" s="14" t="n">
        <x:f>ROUND(D9/(1-E9),2)</x:f>
        <x:v>171.91</x:v>
      </x:c>
      <x:c r="G9" s="11" t="str">
        <x:v>presente-08.jpg</x:v>
      </x:c>
      <x:c r="H9" s="11" t="str">
        <x:v>COLE_AQUI_O_LINK_MERCADO_PAGO_08</x:v>
      </x:c>
      <x:c r="I9" s="18" t="str">
        <x:v>Romântico</x:v>
      </x:c>
      <x:c r="J9" s="18" t="n">
        <x:v>8</x:v>
      </x:c>
      <x:c r="K9" s="18" t="str">
        <x:v>SIM</x:v>
      </x:c>
    </x:row>
    <x:row r="10" ht="42" customHeight="1">
      <x:c r="A10" s="18" t="n">
        <x:v>9</x:v>
      </x:c>
      <x:c r="B10" s="11" t="str">
        <x:v>Café da manhã sem despertador</x:v>
      </x:c>
      <x:c r="C10" s="11" t="str">
        <x:v>Porque ninguém merece acordar cedo na lua de mel.</x:v>
      </x:c>
      <x:c r="D10" s="14" t="n">
        <x:v>174.93</x:v>
      </x:c>
      <x:c r="E10" s="16" t="n">
        <x:v>0.12</x:v>
      </x:c>
      <x:c r="F10" s="14" t="n">
        <x:f>ROUND(D10/(1-E10),2)</x:f>
        <x:v>198.78</x:v>
      </x:c>
      <x:c r="G10" s="11" t="str">
        <x:v>presente-09.jpg</x:v>
      </x:c>
      <x:c r="H10" s="11" t="str">
        <x:v>COLE_AQUI_O_LINK_MERCADO_PAGO_09</x:v>
      </x:c>
      <x:c r="I10" s="18" t="str">
        <x:v>Lua de mel</x:v>
      </x:c>
      <x:c r="J10" s="18" t="n">
        <x:v>9</x:v>
      </x:c>
      <x:c r="K10" s="18" t="str">
        <x:v>SIM</x:v>
      </x:c>
    </x:row>
    <x:row r="11" ht="42" customHeight="1">
      <x:c r="A11" s="18" t="n">
        <x:v>10</x:v>
      </x:c>
      <x:c r="B11" s="11" t="str">
        <x:v>Uber para o aeroporto</x:v>
      </x:c>
      <x:c r="C11" s="11" t="str">
        <x:v>Uma ajudinha para começarmos a viagem sem perder o voo.</x:v>
      </x:c>
      <x:c r="D11" s="14" t="n">
        <x:v>199.67</x:v>
      </x:c>
      <x:c r="E11" s="16" t="n">
        <x:v>0.12</x:v>
      </x:c>
      <x:c r="F11" s="14" t="n">
        <x:f>ROUND(D11/(1-E11),2)</x:f>
        <x:v>226.9</x:v>
      </x:c>
      <x:c r="G11" s="11" t="str">
        <x:v>presente-10.jpg</x:v>
      </x:c>
      <x:c r="H11" s="11" t="str">
        <x:v>COLE_AQUI_O_LINK_MERCADO_PAGO_10</x:v>
      </x:c>
      <x:c r="I11" s="18" t="str">
        <x:v>Lua de mel</x:v>
      </x:c>
      <x:c r="J11" s="18" t="n">
        <x:v>10</x:v>
      </x:c>
      <x:c r="K11" s="18" t="str">
        <x:v>SIM</x:v>
      </x:c>
    </x:row>
    <x:row r="12" ht="42" customHeight="1">
      <x:c r="A12" s="18" t="n">
        <x:v>11</x:v>
      </x:c>
      <x:c r="B12" s="11" t="str">
        <x:v>Jantar romântico</x:v>
      </x:c>
      <x:c r="C12" s="11" t="str">
        <x:v>Amor alimenta, mas uma boa massa ajuda bastante.</x:v>
      </x:c>
      <x:c r="D12" s="14" t="n">
        <x:v>227.48</x:v>
      </x:c>
      <x:c r="E12" s="16" t="n">
        <x:v>0.12</x:v>
      </x:c>
      <x:c r="F12" s="14" t="n">
        <x:f>ROUND(D12/(1-E12),2)</x:f>
        <x:v>258.5</x:v>
      </x:c>
      <x:c r="G12" s="11" t="str">
        <x:v>presente-11.jpg</x:v>
      </x:c>
      <x:c r="H12" s="11" t="str">
        <x:v>COLE_AQUI_O_LINK_MERCADO_PAGO_11</x:v>
      </x:c>
      <x:c r="I12" s="18" t="str">
        <x:v>Romântico</x:v>
      </x:c>
      <x:c r="J12" s="18" t="n">
        <x:v>11</x:v>
      </x:c>
      <x:c r="K12" s="18" t="str">
        <x:v>SIM</x:v>
      </x:c>
    </x:row>
    <x:row r="13" ht="42" customHeight="1">
      <x:c r="A13" s="18" t="n">
        <x:v>12</x:v>
      </x:c>
      <x:c r="B13" s="11" t="str">
        <x:v>Gelato italiano para dois</x:v>
      </x:c>
      <x:c r="C13" s="11" t="str">
        <x:v>Férias sem gelato não contam como férias.</x:v>
      </x:c>
      <x:c r="D13" s="14" t="n">
        <x:v>259.81</x:v>
      </x:c>
      <x:c r="E13" s="16" t="n">
        <x:v>0.12</x:v>
      </x:c>
      <x:c r="F13" s="14" t="n">
        <x:f>ROUND(D13/(1-E13),2)</x:f>
        <x:v>295.24</x:v>
      </x:c>
      <x:c r="G13" s="11" t="str">
        <x:v>presente-12.jpg</x:v>
      </x:c>
      <x:c r="H13" s="11" t="str">
        <x:v>COLE_AQUI_O_LINK_MERCADO_PAGO_12</x:v>
      </x:c>
      <x:c r="I13" s="18" t="str">
        <x:v>Lua de mel</x:v>
      </x:c>
      <x:c r="J13" s="18" t="n">
        <x:v>12</x:v>
      </x:c>
      <x:c r="K13" s="18" t="str">
        <x:v>SIM</x:v>
      </x:c>
    </x:row>
    <x:row r="14" ht="42" customHeight="1">
      <x:c r="A14" s="18" t="n">
        <x:v>13</x:v>
      </x:c>
      <x:c r="B14" s="11" t="str">
        <x:v>Caneca da Oktoberfest</x:v>
      </x:c>
      <x:c r="C14" s="11" t="str">
        <x:v>Uma lembrança digna de brindes históricos.</x:v>
      </x:c>
      <x:c r="D14" s="14" t="n">
        <x:v>294.56</x:v>
      </x:c>
      <x:c r="E14" s="16" t="n">
        <x:v>0.12</x:v>
      </x:c>
      <x:c r="F14" s="14" t="n">
        <x:f>ROUND(D14/(1-E14),2)</x:f>
        <x:v>334.73</x:v>
      </x:c>
      <x:c r="G14" s="11" t="str">
        <x:v>presente-13.jpg</x:v>
      </x:c>
      <x:c r="H14" s="11" t="str">
        <x:v>COLE_AQUI_O_LINK_MERCADO_PAGO_13</x:v>
      </x:c>
      <x:c r="I14" s="18" t="str">
        <x:v>Lua de mel</x:v>
      </x:c>
      <x:c r="J14" s="18" t="n">
        <x:v>13</x:v>
      </x:c>
      <x:c r="K14" s="18" t="str">
        <x:v>SIM</x:v>
      </x:c>
    </x:row>
    <x:row r="15" ht="42" customHeight="1">
      <x:c r="A15" s="18" t="n">
        <x:v>14</x:v>
      </x:c>
      <x:c r="B15" s="11" t="str">
        <x:v>Passeio de barco</x:v>
      </x:c>
      <x:c r="C15" s="11" t="str">
        <x:v>Para tirar fotos bonitas e fingir que somos influenciadores.</x:v>
      </x:c>
      <x:c r="D15" s="14" t="n">
        <x:v>338.72</x:v>
      </x:c>
      <x:c r="E15" s="16" t="n">
        <x:v>0.12</x:v>
      </x:c>
      <x:c r="F15" s="14" t="n">
        <x:f>ROUND(D15/(1-E15),2)</x:f>
        <x:v>384.91</x:v>
      </x:c>
      <x:c r="G15" s="11" t="str">
        <x:v>presente-14.jpg</x:v>
      </x:c>
      <x:c r="H15" s="11" t="str">
        <x:v>COLE_AQUI_O_LINK_MERCADO_PAGO_14</x:v>
      </x:c>
      <x:c r="I15" s="18" t="str">
        <x:v>Lua de mel</x:v>
      </x:c>
      <x:c r="J15" s="18" t="n">
        <x:v>14</x:v>
      </x:c>
      <x:c r="K15" s="18" t="str">
        <x:v>SIM</x:v>
      </x:c>
    </x:row>
    <x:row r="16" ht="42" customHeight="1">
      <x:c r="A16" s="18" t="n">
        <x:v>15</x:v>
      </x:c>
      <x:c r="B16" s="11" t="str">
        <x:v>Tábua de frios dos recém-casados</x:v>
      </x:c>
      <x:c r="C16" s="11" t="str">
        <x:v>Sofisticação nível MasterChef, sem a pressão dos jurados.</x:v>
      </x:c>
      <x:c r="D16" s="14" t="n">
        <x:v>386.44</x:v>
      </x:c>
      <x:c r="E16" s="16" t="n">
        <x:v>0.12</x:v>
      </x:c>
      <x:c r="F16" s="14" t="n">
        <x:f>ROUND(D16/(1-E16),2)</x:f>
        <x:v>439.14</x:v>
      </x:c>
      <x:c r="G16" s="11" t="str">
        <x:v>presente-15.jpg</x:v>
      </x:c>
      <x:c r="H16" s="11" t="str">
        <x:v>COLE_AQUI_O_LINK_MERCADO_PAGO_15</x:v>
      </x:c>
      <x:c r="I16" s="18" t="str">
        <x:v>Casamento</x:v>
      </x:c>
      <x:c r="J16" s="18" t="n">
        <x:v>15</x:v>
      </x:c>
      <x:c r="K16" s="18" t="str">
        <x:v>SIM</x:v>
      </x:c>
    </x:row>
    <x:row r="17" ht="42" customHeight="1">
      <x:c r="A17" s="18" t="n">
        <x:v>16</x:v>
      </x:c>
      <x:c r="B17" s="11" t="str">
        <x:v>Vinho especial da lua de mel</x:v>
      </x:c>
      <x:c r="C17" s="11" t="str">
        <x:v>Para guardar a rolha, a memória e talvez a conta.</x:v>
      </x:c>
      <x:c r="D17" s="14" t="n">
        <x:v>437.19</x:v>
      </x:c>
      <x:c r="E17" s="16" t="n">
        <x:v>0.12</x:v>
      </x:c>
      <x:c r="F17" s="14" t="n">
        <x:f>ROUND(D17/(1-E17),2)</x:f>
        <x:v>496.81</x:v>
      </x:c>
      <x:c r="G17" s="11" t="str">
        <x:v>presente-16.jpg</x:v>
      </x:c>
      <x:c r="H17" s="11" t="str">
        <x:v>COLE_AQUI_O_LINK_MERCADO_PAGO_16</x:v>
      </x:c>
      <x:c r="I17" s="18" t="str">
        <x:v>Romântico</x:v>
      </x:c>
      <x:c r="J17" s="18" t="n">
        <x:v>16</x:v>
      </x:c>
      <x:c r="K17" s="18" t="str">
        <x:v>SIM</x:v>
      </x:c>
    </x:row>
    <x:row r="18" ht="42" customHeight="1">
      <x:c r="A18" s="18" t="n">
        <x:v>17</x:v>
      </x:c>
      <x:c r="B18" s="11" t="str">
        <x:v>Fotos espontâneas da viagem</x:v>
      </x:c>
      <x:c r="C18" s="11" t="str">
        <x:v>Porque as melhores fotos são as que fingimos não estar posando.</x:v>
      </x:c>
      <x:c r="D18" s="14" t="n">
        <x:v>496.83</x:v>
      </x:c>
      <x:c r="E18" s="16" t="n">
        <x:v>0.12</x:v>
      </x:c>
      <x:c r="F18" s="14" t="n">
        <x:f>ROUND(D18/(1-E18),2)</x:f>
        <x:v>564.58</x:v>
      </x:c>
      <x:c r="G18" s="11" t="str">
        <x:v>presente-17.jpg</x:v>
      </x:c>
      <x:c r="H18" s="11" t="str">
        <x:v>COLE_AQUI_O_LINK_MERCADO_PAGO_17</x:v>
      </x:c>
      <x:c r="I18" s="18" t="str">
        <x:v>Lua de mel</x:v>
      </x:c>
      <x:c r="J18" s="18" t="n">
        <x:v>17</x:v>
      </x:c>
      <x:c r="K18" s="18" t="str">
        <x:v>SIM</x:v>
      </x:c>
    </x:row>
    <x:row r="19" ht="42" customHeight="1">
      <x:c r="A19" s="18" t="n">
        <x:v>18</x:v>
      </x:c>
      <x:c r="B19" s="11" t="str">
        <x:v>Massagem para a noiva</x:v>
      </x:c>
      <x:c r="C19" s="11" t="str">
        <x:v>Organizar casamento cansa. Muito.</x:v>
      </x:c>
      <x:c r="D19" s="14" t="n">
        <x:v>558.37</x:v>
      </x:c>
      <x:c r="E19" s="16" t="n">
        <x:v>0.12</x:v>
      </x:c>
      <x:c r="F19" s="14" t="n">
        <x:f>ROUND(D19/(1-E19),2)</x:f>
        <x:v>634.51</x:v>
      </x:c>
      <x:c r="G19" s="11" t="str">
        <x:v>presente-18.jpg</x:v>
      </x:c>
      <x:c r="H19" s="11" t="str">
        <x:v>COLE_AQUI_O_LINK_MERCADO_PAGO_18</x:v>
      </x:c>
      <x:c r="I19" s="18" t="str">
        <x:v>Casamento</x:v>
      </x:c>
      <x:c r="J19" s="18" t="n">
        <x:v>18</x:v>
      </x:c>
      <x:c r="K19" s="18" t="str">
        <x:v>SIM</x:v>
      </x:c>
    </x:row>
    <x:row r="20" ht="42" customHeight="1">
      <x:c r="A20" s="18" t="n">
        <x:v>19</x:v>
      </x:c>
      <x:c r="B20" s="11" t="str">
        <x:v>Massagem para o noivo</x:v>
      </x:c>
      <x:c r="C20" s="11" t="str">
        <x:v>Ele também merece relaxar depois de dizer que estava tudo sob controle.</x:v>
      </x:c>
      <x:c r="D20" s="14" t="n">
        <x:v>623.91</x:v>
      </x:c>
      <x:c r="E20" s="16" t="n">
        <x:v>0.12</x:v>
      </x:c>
      <x:c r="F20" s="14" t="n">
        <x:f>ROUND(D20/(1-E20),2)</x:f>
        <x:v>708.99</x:v>
      </x:c>
      <x:c r="G20" s="11" t="str">
        <x:v>presente-19.jpg</x:v>
      </x:c>
      <x:c r="H20" s="11" t="str">
        <x:v>COLE_AQUI_O_LINK_MERCADO_PAGO_19</x:v>
      </x:c>
      <x:c r="I20" s="18" t="str">
        <x:v>Engraçado</x:v>
      </x:c>
      <x:c r="J20" s="18" t="n">
        <x:v>19</x:v>
      </x:c>
      <x:c r="K20" s="18" t="str">
        <x:v>SIM</x:v>
      </x:c>
    </x:row>
    <x:row r="21" ht="42" customHeight="1">
      <x:c r="A21" s="18" t="n">
        <x:v>20</x:v>
      </x:c>
      <x:c r="B21" s="11" t="str">
        <x:v>Upgrade do quarto</x:v>
      </x:c>
      <x:c r="C21" s="11" t="str">
        <x:v>Uma vista melhor nunca fez mal a nenhum romance.</x:v>
      </x:c>
      <x:c r="D21" s="14" t="n">
        <x:v>712.48</x:v>
      </x:c>
      <x:c r="E21" s="16" t="n">
        <x:v>0.12</x:v>
      </x:c>
      <x:c r="F21" s="14" t="n">
        <x:f>ROUND(D21/(1-E21),2)</x:f>
        <x:v>809.64</x:v>
      </x:c>
      <x:c r="G21" s="11" t="str">
        <x:v>presente-20.jpg</x:v>
      </x:c>
      <x:c r="H21" s="11" t="str">
        <x:v>COLE_AQUI_O_LINK_MERCADO_PAGO_20</x:v>
      </x:c>
      <x:c r="I21" s="18" t="str">
        <x:v>Lua de mel</x:v>
      </x:c>
      <x:c r="J21" s="18" t="n">
        <x:v>20</x:v>
      </x:c>
      <x:c r="K21" s="18" t="str">
        <x:v>SIM</x:v>
      </x:c>
    </x:row>
    <x:row r="22" ht="42" customHeight="1">
      <x:c r="A22" s="18" t="n">
        <x:v>21</x:v>
      </x:c>
      <x:c r="B22" s="11" t="str">
        <x:v>Trem europeu com paisagem</x:v>
      </x:c>
      <x:c r="C22" s="11" t="str">
        <x:v>Viajar olhando pela janela também é romantismo.</x:v>
      </x:c>
      <x:c r="D22" s="14" t="n">
        <x:v>824.73</x:v>
      </x:c>
      <x:c r="E22" s="16" t="n">
        <x:v>0.12</x:v>
      </x:c>
      <x:c r="F22" s="14" t="n">
        <x:f>ROUND(D22/(1-E22),2)</x:f>
        <x:v>937.19</x:v>
      </x:c>
      <x:c r="G22" s="11" t="str">
        <x:v>presente-21.jpg</x:v>
      </x:c>
      <x:c r="H22" s="11" t="str">
        <x:v>COLE_AQUI_O_LINK_MERCADO_PAGO_21</x:v>
      </x:c>
      <x:c r="I22" s="18" t="str">
        <x:v>Lua de mel</x:v>
      </x:c>
      <x:c r="J22" s="18" t="n">
        <x:v>21</x:v>
      </x:c>
      <x:c r="K22" s="18" t="str">
        <x:v>SIM</x:v>
      </x:c>
    </x:row>
    <x:row r="23" ht="42" customHeight="1">
      <x:c r="A23" s="18" t="n">
        <x:v>22</x:v>
      </x:c>
      <x:c r="B23" s="11" t="str">
        <x:v>Jantar especial da viagem</x:v>
      </x:c>
      <x:c r="C23" s="11" t="str">
        <x:v>Porque miojo já tivemos bastante.</x:v>
      </x:c>
      <x:c r="D23" s="14" t="n">
        <x:v>948.56</x:v>
      </x:c>
      <x:c r="E23" s="16" t="n">
        <x:v>0.12</x:v>
      </x:c>
      <x:c r="F23" s="14" t="n">
        <x:f>ROUND(D23/(1-E23),2)</x:f>
        <x:v>1077.91</x:v>
      </x:c>
      <x:c r="G23" s="11" t="str">
        <x:v>presente-22.jpg</x:v>
      </x:c>
      <x:c r="H23" s="11" t="str">
        <x:v>COLE_AQUI_O_LINK_MERCADO_PAGO_22</x:v>
      </x:c>
      <x:c r="I23" s="18" t="str">
        <x:v>Romântico</x:v>
      </x:c>
      <x:c r="J23" s="18" t="n">
        <x:v>22</x:v>
      </x:c>
      <x:c r="K23" s="18" t="str">
        <x:v>SIM</x:v>
      </x:c>
    </x:row>
    <x:row r="24" ht="42" customHeight="1">
      <x:c r="A24" s="18" t="n">
        <x:v>23</x:v>
      </x:c>
      <x:c r="B24" s="11" t="str">
        <x:v>Mala extra para as compras</x:v>
      </x:c>
      <x:c r="C24" s="11" t="str">
        <x:v>Prometemos tentar não exagerar. A palavra-chave é tentar.</x:v>
      </x:c>
      <x:c r="D24" s="14" t="n">
        <x:v>1087.92</x:v>
      </x:c>
      <x:c r="E24" s="16" t="n">
        <x:v>0.12</x:v>
      </x:c>
      <x:c r="F24" s="14" t="n">
        <x:f>ROUND(D24/(1-E24),2)</x:f>
        <x:v>1236.27</x:v>
      </x:c>
      <x:c r="G24" s="11" t="str">
        <x:v>presente-23.jpg</x:v>
      </x:c>
      <x:c r="H24" s="11" t="str">
        <x:v>COLE_AQUI_O_LINK_MERCADO_PAGO_23</x:v>
      </x:c>
      <x:c r="I24" s="18" t="str">
        <x:v>Engraçado</x:v>
      </x:c>
      <x:c r="J24" s="18" t="n">
        <x:v>23</x:v>
      </x:c>
      <x:c r="K24" s="18" t="str">
        <x:v>SIM</x:v>
      </x:c>
    </x:row>
    <x:row r="25" ht="42" customHeight="1">
      <x:c r="A25" s="18" t="n">
        <x:v>24</x:v>
      </x:c>
      <x:c r="B25" s="11" t="str">
        <x:v>Uma noite em castelo</x:v>
      </x:c>
      <x:c r="C25" s="11" t="str">
        <x:v>Só faltam os cavalos e um título de nobreza.</x:v>
      </x:c>
      <x:c r="D25" s="14" t="n">
        <x:v>1266.38</x:v>
      </x:c>
      <x:c r="E25" s="16" t="n">
        <x:v>0.12</x:v>
      </x:c>
      <x:c r="F25" s="14" t="n">
        <x:f>ROUND(D25/(1-E25),2)</x:f>
        <x:v>1439.07</x:v>
      </x:c>
      <x:c r="G25" s="11" t="str">
        <x:v>presente-24.jpg</x:v>
      </x:c>
      <x:c r="H25" s="11" t="str">
        <x:v>COLE_AQUI_O_LINK_MERCADO_PAGO_24</x:v>
      </x:c>
      <x:c r="I25" s="18" t="str">
        <x:v>Romântico</x:v>
      </x:c>
      <x:c r="J25" s="18" t="n">
        <x:v>24</x:v>
      </x:c>
      <x:c r="K25" s="18" t="str">
        <x:v>SIM</x:v>
      </x:c>
    </x:row>
    <x:row r="26" ht="42" customHeight="1">
      <x:c r="A26" s="18" t="n">
        <x:v>25</x:v>
      </x:c>
      <x:c r="B26" s="11" t="str">
        <x:v>Pôr do sol inesquecível</x:v>
      </x:c>
      <x:c r="C26" s="11" t="str">
        <x:v>O cenário será bonito. A companhia também.</x:v>
      </x:c>
      <x:c r="D26" s="14" t="n">
        <x:v>1478.63</x:v>
      </x:c>
      <x:c r="E26" s="16" t="n">
        <x:v>0.12</x:v>
      </x:c>
      <x:c r="F26" s="14" t="n">
        <x:f>ROUND(D26/(1-E26),2)</x:f>
        <x:v>1680.26</x:v>
      </x:c>
      <x:c r="G26" s="11" t="str">
        <x:v>presente-25.jpg</x:v>
      </x:c>
      <x:c r="H26" s="11" t="str">
        <x:v>COLE_AQUI_O_LINK_MERCADO_PAGO_25</x:v>
      </x:c>
      <x:c r="I26" s="18" t="str">
        <x:v>Romântico</x:v>
      </x:c>
      <x:c r="J26" s="18" t="n">
        <x:v>25</x:v>
      </x:c>
      <x:c r="K26" s="18" t="str">
        <x:v>SIM</x:v>
      </x:c>
    </x:row>
    <x:row r="27" ht="42" customHeight="1">
      <x:c r="A27" s="18" t="n">
        <x:v>26</x:v>
      </x:c>
      <x:c r="B27" s="11" t="str">
        <x:v>Passeio de balão</x:v>
      </x:c>
      <x:c r="C27" s="11" t="str">
        <x:v>Amor nas alturas, literalmente.</x:v>
      </x:c>
      <x:c r="D27" s="14" t="n">
        <x:v>1694.27</x:v>
      </x:c>
      <x:c r="E27" s="16" t="n">
        <x:v>0.12</x:v>
      </x:c>
      <x:c r="F27" s="14" t="n">
        <x:f>ROUND(D27/(1-E27),2)</x:f>
        <x:v>1925.31</x:v>
      </x:c>
      <x:c r="G27" s="11" t="str">
        <x:v>presente-26.jpg</x:v>
      </x:c>
      <x:c r="H27" s="11" t="str">
        <x:v>COLE_AQUI_O_LINK_MERCADO_PAGO_26</x:v>
      </x:c>
      <x:c r="I27" s="18" t="str">
        <x:v>Lua de mel</x:v>
      </x:c>
      <x:c r="J27" s="18" t="n">
        <x:v>26</x:v>
      </x:c>
      <x:c r="K27" s="18" t="str">
        <x:v>SIM</x:v>
      </x:c>
    </x:row>
    <x:row r="28" ht="42" customHeight="1">
      <x:c r="A28" s="18" t="n">
        <x:v>27</x:v>
      </x:c>
      <x:c r="B28" s="11" t="str">
        <x:v>Dia inteiro de spa</x:v>
      </x:c>
      <x:c r="C28" s="11" t="str">
        <x:v>Para descansar depois da maratona chamada casamento.</x:v>
      </x:c>
      <x:c r="D28" s="14" t="n">
        <x:v>1942.86</x:v>
      </x:c>
      <x:c r="E28" s="16" t="n">
        <x:v>0.12</x:v>
      </x:c>
      <x:c r="F28" s="14" t="n">
        <x:f>ROUND(D28/(1-E28),2)</x:f>
        <x:v>2207.8</x:v>
      </x:c>
      <x:c r="G28" s="11" t="str">
        <x:v>presente-27.jpg</x:v>
      </x:c>
      <x:c r="H28" s="11" t="str">
        <x:v>COLE_AQUI_O_LINK_MERCADO_PAGO_27</x:v>
      </x:c>
      <x:c r="I28" s="18" t="str">
        <x:v>Casamento</x:v>
      </x:c>
      <x:c r="J28" s="18" t="n">
        <x:v>27</x:v>
      </x:c>
      <x:c r="K28" s="18" t="str">
        <x:v>SIM</x:v>
      </x:c>
    </x:row>
    <x:row r="29" ht="42" customHeight="1">
      <x:c r="A29" s="18" t="n">
        <x:v>28</x:v>
      </x:c>
      <x:c r="B29" s="11" t="str">
        <x:v>Ajuda com as passagens</x:v>
      </x:c>
      <x:c r="C29" s="11" t="str">
        <x:v>Quanto menos escalas, melhor para o amor e para o humor.</x:v>
      </x:c>
      <x:c r="D29" s="14" t="n">
        <x:v>2268.31</x:v>
      </x:c>
      <x:c r="E29" s="16" t="n">
        <x:v>0.12</x:v>
      </x:c>
      <x:c r="F29" s="14" t="n">
        <x:f>ROUND(D29/(1-E29),2)</x:f>
        <x:v>2577.63</x:v>
      </x:c>
      <x:c r="G29" s="11" t="str">
        <x:v>presente-28.jpg</x:v>
      </x:c>
      <x:c r="H29" s="11" t="str">
        <x:v>COLE_AQUI_O_LINK_MERCADO_PAGO_28</x:v>
      </x:c>
      <x:c r="I29" s="18" t="str">
        <x:v>Lua de mel</x:v>
      </x:c>
      <x:c r="J29" s="18" t="n">
        <x:v>28</x:v>
      </x:c>
      <x:c r="K29" s="18" t="str">
        <x:v>SIM</x:v>
      </x:c>
    </x:row>
    <x:row r="30" ht="42" customHeight="1">
      <x:c r="A30" s="18" t="n">
        <x:v>29</x:v>
      </x:c>
      <x:c r="B30" s="11" t="str">
        <x:v>Duas diárias especiais</x:v>
      </x:c>
      <x:c r="C30" s="11" t="str">
        <x:v>Para dormir sem pensar em planilhas, contratos ou obras.</x:v>
      </x:c>
      <x:c r="D30" s="14" t="n">
        <x:v>2579.64</x:v>
      </x:c>
      <x:c r="E30" s="16" t="n">
        <x:v>0.12</x:v>
      </x:c>
      <x:c r="F30" s="14" t="n">
        <x:f>ROUND(D30/(1-E30),2)</x:f>
        <x:v>2931.41</x:v>
      </x:c>
      <x:c r="G30" s="11" t="str">
        <x:v>presente-29.jpg</x:v>
      </x:c>
      <x:c r="H30" s="11" t="str">
        <x:v>COLE_AQUI_O_LINK_MERCADO_PAGO_29</x:v>
      </x:c>
      <x:c r="I30" s="18" t="str">
        <x:v>Lua de mel</x:v>
      </x:c>
      <x:c r="J30" s="18" t="n">
        <x:v>29</x:v>
      </x:c>
      <x:c r="K30" s="18" t="str">
        <x:v>SIM</x:v>
      </x:c>
    </x:row>
    <x:row r="31" ht="42" customHeight="1">
      <x:c r="A31" s="18" t="n">
        <x:v>30</x:v>
      </x:c>
      <x:c r="B31" s="11" t="str">
        <x:v>Dia oficial sem fazer nada</x:v>
      </x:c>
      <x:c r="C31" s="11" t="str">
        <x:v>O objetivo é exatamente esse: absolutamente nada.</x:v>
      </x:c>
      <x:c r="D31" s="14" t="n">
        <x:v>2948.17</x:v>
      </x:c>
      <x:c r="E31" s="16" t="n">
        <x:v>0.12</x:v>
      </x:c>
      <x:c r="F31" s="14" t="n">
        <x:f>ROUND(D31/(1-E31),2)</x:f>
        <x:v>3350.19</x:v>
      </x:c>
      <x:c r="G31" s="11" t="str">
        <x:v>presente-30.jpg</x:v>
      </x:c>
      <x:c r="H31" s="11" t="str">
        <x:v>COLE_AQUI_O_LINK_MERCADO_PAGO_30</x:v>
      </x:c>
      <x:c r="I31" s="18" t="str">
        <x:v>Engraçado</x:v>
      </x:c>
      <x:c r="J31" s="18" t="n">
        <x:v>30</x:v>
      </x:c>
      <x:c r="K31" s="18" t="str">
        <x:v>SIM</x:v>
      </x:c>
    </x:row>
    <x:row r="32" ht="42" customHeight="1">
      <x:c r="A32" s="18" t="n">
        <x:v>31</x:v>
      </x:c>
      <x:c r="B32" s="11" t="str">
        <x:v>Champanhe de comemoração</x:v>
      </x:c>
      <x:c r="C32" s="11" t="str">
        <x:v>Abriremos pensando em vocês e brindando à nossa nova fase.</x:v>
      </x:c>
      <x:c r="D32" s="14" t="n">
        <x:v>3386.52</x:v>
      </x:c>
      <x:c r="E32" s="16" t="n">
        <x:v>0.12</x:v>
      </x:c>
      <x:c r="F32" s="14" t="n">
        <x:f>ROUND(D32/(1-E32),2)</x:f>
        <x:v>3848.32</x:v>
      </x:c>
      <x:c r="G32" s="11" t="str">
        <x:v>presente-31.jpg</x:v>
      </x:c>
      <x:c r="H32" s="11" t="str">
        <x:v>COLE_AQUI_O_LINK_MERCADO_PAGO_31</x:v>
      </x:c>
      <x:c r="I32" s="18" t="str">
        <x:v>Romântico</x:v>
      </x:c>
      <x:c r="J32" s="18" t="n">
        <x:v>31</x:v>
      </x:c>
      <x:c r="K32" s="18" t="str">
        <x:v>SIM</x:v>
      </x:c>
    </x:row>
    <x:row r="33" ht="42" customHeight="1">
      <x:c r="A33" s="18" t="n">
        <x:v>32</x:v>
      </x:c>
      <x:c r="B33" s="11" t="str">
        <x:v>Fundo da casa nova</x:v>
      </x:c>
      <x:c r="C33" s="11" t="str">
        <x:v>O sofá, a cafeteira e o futuro robô aspirador agradecem.</x:v>
      </x:c>
      <x:c r="D33" s="14" t="n">
        <x:v>3864.79</x:v>
      </x:c>
      <x:c r="E33" s="16" t="n">
        <x:v>0.12</x:v>
      </x:c>
      <x:c r="F33" s="14" t="n">
        <x:f>ROUND(D33/(1-E33),2)</x:f>
        <x:v>4391.81</x:v>
      </x:c>
      <x:c r="G33" s="11" t="str">
        <x:v>presente-32.jpg</x:v>
      </x:c>
      <x:c r="H33" s="11" t="str">
        <x:v>COLE_AQUI_O_LINK_MERCADO_PAGO_32</x:v>
      </x:c>
      <x:c r="I33" s="18" t="str">
        <x:v>Casamento</x:v>
      </x:c>
      <x:c r="J33" s="18" t="n">
        <x:v>32</x:v>
      </x:c>
      <x:c r="K33" s="18" t="str">
        <x:v>SIM</x:v>
      </x:c>
    </x:row>
    <x:row r="34" ht="42" customHeight="1">
      <x:c r="A34" s="18" t="n">
        <x:v>33</x:v>
      </x:c>
      <x:c r="B34" s="11" t="str">
        <x:v>Parte do buffet</x:v>
      </x:c>
      <x:c r="C34" s="11" t="str">
        <x:v>Para garantir que ninguém vá embora com fome.</x:v>
      </x:c>
      <x:c r="D34" s="14" t="n">
        <x:v>4387.26</x:v>
      </x:c>
      <x:c r="E34" s="16" t="n">
        <x:v>0.12</x:v>
      </x:c>
      <x:c r="F34" s="14" t="n">
        <x:f>ROUND(D34/(1-E34),2)</x:f>
        <x:v>4985.52</x:v>
      </x:c>
      <x:c r="G34" s="11" t="str">
        <x:v>presente-33.jpg</x:v>
      </x:c>
      <x:c r="H34" s="11" t="str">
        <x:v>COLE_AQUI_O_LINK_MERCADO_PAGO_33</x:v>
      </x:c>
      <x:c r="I34" s="18" t="str">
        <x:v>Casamento</x:v>
      </x:c>
      <x:c r="J34" s="18" t="n">
        <x:v>33</x:v>
      </x:c>
      <x:c r="K34" s="18" t="str">
        <x:v>SIM</x:v>
      </x:c>
    </x:row>
    <x:row r="35" ht="42" customHeight="1">
      <x:c r="A35" s="18" t="n">
        <x:v>34</x:v>
      </x:c>
      <x:c r="B35" s="11" t="str">
        <x:v>Parte da decoração</x:v>
      </x:c>
      <x:c r="C35" s="11" t="str">
        <x:v>Mais flores, mais beleza e muitas fotos bonitas.</x:v>
      </x:c>
      <x:c r="D35" s="14" t="n">
        <x:v>4978.43</x:v>
      </x:c>
      <x:c r="E35" s="16" t="n">
        <x:v>0.12</x:v>
      </x:c>
      <x:c r="F35" s="14" t="n">
        <x:f>ROUND(D35/(1-E35),2)</x:f>
        <x:v>5657.31</x:v>
      </x:c>
      <x:c r="G35" s="11" t="str">
        <x:v>presente-34.jpg</x:v>
      </x:c>
      <x:c r="H35" s="11" t="str">
        <x:v>COLE_AQUI_O_LINK_MERCADO_PAGO_34</x:v>
      </x:c>
      <x:c r="I35" s="18" t="str">
        <x:v>Casamento</x:v>
      </x:c>
      <x:c r="J35" s="18" t="n">
        <x:v>34</x:v>
      </x:c>
      <x:c r="K35" s="18" t="str">
        <x:v>SIM</x:v>
      </x:c>
    </x:row>
    <x:row r="36" ht="42" customHeight="1">
      <x:c r="A36" s="18" t="n">
        <x:v>35</x:v>
      </x:c>
      <x:c r="B36" s="11" t="str">
        <x:v>Cota das alianças</x:v>
      </x:c>
      <x:c r="C36" s="11" t="str">
        <x:v>Um pedacinho do símbolo da nossa união.</x:v>
      </x:c>
      <x:c r="D36" s="14" t="n">
        <x:v>5586.91</x:v>
      </x:c>
      <x:c r="E36" s="16" t="n">
        <x:v>0.12</x:v>
      </x:c>
      <x:c r="F36" s="14" t="n">
        <x:f>ROUND(D36/(1-E36),2)</x:f>
        <x:v>6348.76</x:v>
      </x:c>
      <x:c r="G36" s="11" t="str">
        <x:v>presente-35.jpg</x:v>
      </x:c>
      <x:c r="H36" s="11" t="str">
        <x:v>COLE_AQUI_O_LINK_MERCADO_PAGO_35</x:v>
      </x:c>
      <x:c r="I36" s="18" t="str">
        <x:v>Romântico</x:v>
      </x:c>
      <x:c r="J36" s="18" t="n">
        <x:v>35</x:v>
      </x:c>
      <x:c r="K36" s="18" t="str">
        <x:v>SIM</x:v>
      </x:c>
    </x:row>
    <x:row r="37" ht="42" customHeight="1">
      <x:c r="A37" s="18" t="n">
        <x:v>36</x:v>
      </x:c>
      <x:c r="B37" s="11" t="str">
        <x:v>Cota especial da lua de mel</x:v>
      </x:c>
      <x:c r="C37" s="11" t="str">
        <x:v>Você estará viajando conosco em espírito. Sem precisar arrumar mala.</x:v>
      </x:c>
      <x:c r="D37" s="14" t="n">
        <x:v>6294.58</x:v>
      </x:c>
      <x:c r="E37" s="16" t="n">
        <x:v>0.12</x:v>
      </x:c>
      <x:c r="F37" s="14" t="n">
        <x:f>ROUND(D37/(1-E37),2)</x:f>
        <x:v>7152.93</x:v>
      </x:c>
      <x:c r="G37" s="11" t="str">
        <x:v>presente-36.jpg</x:v>
      </x:c>
      <x:c r="H37" s="11" t="str">
        <x:v>COLE_AQUI_O_LINK_MERCADO_PAGO_36</x:v>
      </x:c>
      <x:c r="I37" s="18" t="str">
        <x:v>Lua de mel</x:v>
      </x:c>
      <x:c r="J37" s="18" t="n">
        <x:v>36</x:v>
      </x:c>
      <x:c r="K37" s="18" t="str">
        <x:v>SIM</x:v>
      </x:c>
    </x:row>
    <x:row r="38" ht="42" customHeight="1">
      <x:c r="A38" s="18" t="n">
        <x:v>37</x:v>
      </x:c>
      <x:c r="B38" s="11" t="str">
        <x:v>Patrocinador oficial do romance</x:v>
      </x:c>
      <x:c r="C38" s="11" t="str">
        <x:v>Responsável por vários momentos felizes e muitos agradecimentos.</x:v>
      </x:c>
      <x:c r="D38" s="14" t="n">
        <x:v>7089.37</x:v>
      </x:c>
      <x:c r="E38" s="16" t="n">
        <x:v>0.12</x:v>
      </x:c>
      <x:c r="F38" s="14" t="n">
        <x:f>ROUND(D38/(1-E38),2)</x:f>
        <x:v>8056.1</x:v>
      </x:c>
      <x:c r="G38" s="11" t="str">
        <x:v>presente-37.jpg</x:v>
      </x:c>
      <x:c r="H38" s="11" t="str">
        <x:v>COLE_AQUI_O_LINK_MERCADO_PAGO_37</x:v>
      </x:c>
      <x:c r="I38" s="18" t="str">
        <x:v>Romântico</x:v>
      </x:c>
      <x:c r="J38" s="18" t="n">
        <x:v>37</x:v>
      </x:c>
      <x:c r="K38" s="18" t="str">
        <x:v>SIM</x:v>
      </x:c>
    </x:row>
    <x:row r="39" ht="42" customHeight="1">
      <x:c r="A39" s="18" t="n">
        <x:v>38</x:v>
      </x:c>
      <x:c r="B39" s="11" t="str">
        <x:v>Patrocinador Master dos Noivos</x:v>
      </x:c>
      <x:c r="C39" s="11" t="str">
        <x:v>Direito a agradecimentos eternos e um abraço caprichado.</x:v>
      </x:c>
      <x:c r="D39" s="14" t="n">
        <x:v>7976.82</x:v>
      </x:c>
      <x:c r="E39" s="16" t="n">
        <x:v>0.12</x:v>
      </x:c>
      <x:c r="F39" s="14" t="n">
        <x:f>ROUND(D39/(1-E39),2)</x:f>
        <x:v>9064.57</x:v>
      </x:c>
      <x:c r="G39" s="11" t="str">
        <x:v>presente-38.jpg</x:v>
      </x:c>
      <x:c r="H39" s="11" t="str">
        <x:v>COLE_AQUI_O_LINK_MERCADO_PAGO_38</x:v>
      </x:c>
      <x:c r="I39" s="18" t="str">
        <x:v>Engraçado</x:v>
      </x:c>
      <x:c r="J39" s="18" t="n">
        <x:v>38</x:v>
      </x:c>
      <x:c r="K39" s="18" t="str">
        <x:v>SIM</x:v>
      </x:c>
    </x:row>
    <x:row r="40" ht="42" customHeight="1">
      <x:c r="A40" s="18" t="n">
        <x:v>39</x:v>
      </x:c>
      <x:c r="B40" s="11" t="str">
        <x:v>Cota Amor Sem Limites</x:v>
      </x:c>
      <x:c r="C40" s="11" t="str">
        <x:v>Uma ajuda gigante para construirmos uma história ainda maior.</x:v>
      </x:c>
      <x:c r="D40" s="14" t="n">
        <x:v>8896.41</x:v>
      </x:c>
      <x:c r="E40" s="16" t="n">
        <x:v>0.12</x:v>
      </x:c>
      <x:c r="F40" s="14" t="n">
        <x:f>ROUND(D40/(1-E40),2)</x:f>
        <x:v>10109.56</x:v>
      </x:c>
      <x:c r="G40" s="11" t="str">
        <x:v>presente-39.jpg</x:v>
      </x:c>
      <x:c r="H40" s="11" t="str">
        <x:v>COLE_AQUI_O_LINK_MERCADO_PAGO_39</x:v>
      </x:c>
      <x:c r="I40" s="18" t="str">
        <x:v>Romântico</x:v>
      </x:c>
      <x:c r="J40" s="18" t="n">
        <x:v>39</x:v>
      </x:c>
      <x:c r="K40" s="18" t="str">
        <x:v>SIM</x:v>
      </x:c>
    </x:row>
    <x:row r="41" ht="42" customHeight="1">
      <x:c r="A41" s="18" t="n">
        <x:v>40</x:v>
      </x:c>
      <x:c r="B41" s="11" t="str">
        <x:v>Grande Benfeitor da Lua de Mel</x:v>
      </x:c>
      <x:c r="C41" s="11" t="str">
        <x:v>Seu nome será lembrado no Hall da Fama oficial dos convidados.</x:v>
      </x:c>
      <x:c r="D41" s="14" t="n">
        <x:v>10000</x:v>
      </x:c>
      <x:c r="E41" s="16" t="n">
        <x:v>0.12</x:v>
      </x:c>
      <x:c r="F41" s="14" t="n">
        <x:f>ROUND(D41/(1-E41),2)</x:f>
        <x:v>11363.64</x:v>
      </x:c>
      <x:c r="G41" s="11" t="str">
        <x:v>presente-40.jpg</x:v>
      </x:c>
      <x:c r="H41" s="11" t="str">
        <x:v>COLE_AQUI_O_LINK_MERCADO_PAGO_40</x:v>
      </x:c>
      <x:c r="I41" s="18" t="str">
        <x:v>Engraçado</x:v>
      </x:c>
      <x:c r="J41" s="18" t="n">
        <x:v>40</x:v>
      </x:c>
      <x:c r="K41" s="18" t="str">
        <x:v>SIM</x:v>
      </x:c>
    </x:row>
  </x:sheetData>
  <x:conditionalFormatting sqref="K2:K200">
    <x:cfRule type="expression" dxfId="0" priority="1">
      <x:formula>K2="NÃO"</x:formula>
    </x:cfRule>
    <x:cfRule type="expression" dxfId="1" priority="2">
      <x:formula>K2="SIM"</x:formula>
    </x:cfRule>
  </x:conditionalFormatting>
  <x:dataValidations count="2">
    <x:dataValidation type="list" sqref="I2:I200">
      <x:formula1>"Engraçado,Romântico,Casamento,Lua de mel"</x:formula1>
    </x:dataValidation>
    <x:dataValidation type="list" sqref="K2:K200">
      <x:formula1>"SIM,NÃO"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5" hidden="0" customWidth="1"/>
  </x:cols>
  <x:sheetData>
    <x:row r="1">
      <x:c r="A1" s="22" t="str">
        <x:v>CONFIGURAÇÃO DA LISTA DE PRESENTES</x:v>
      </x:c>
      <x:c r="B1" s="22"/>
      <x:c r="C1" s="22"/>
      <x:c r="D1" s="22"/>
      <x:c r="E1" s="22"/>
      <x:c r="F1" s="22"/>
    </x:row>
    <x:row r="3" ht="34" customHeight="1">
      <x:c r="A3" s="10" t="str">
        <x:v>Item</x:v>
      </x:c>
      <x:c r="B3" s="10" t="str">
        <x:v>Orientação</x:v>
      </x:c>
    </x:row>
    <x:row r="4" ht="34" customHeight="1">
      <x:c r="A4" s="11" t="str">
        <x:v>1</x:v>
      </x:c>
      <x:c r="B4" s="11" t="str">
        <x:v>Faça upload deste arquivo no Google Drive e abra com o Google Planilhas.</x:v>
      </x:c>
    </x:row>
    <x:row r="5" ht="34" customHeight="1">
      <x:c r="A5" s="11" t="str">
        <x:v>2</x:v>
      </x:c>
      <x:c r="B5" s="11" t="str">
        <x:v>No Google Planilhas, use Arquivo &gt; Compartilhar &gt; Publicar na Web.</x:v>
      </x:c>
    </x:row>
    <x:row r="6" ht="34" customHeight="1">
      <x:c r="A6" s="11" t="str">
        <x:v>3</x:v>
      </x:c>
      <x:c r="B6" s="11" t="str">
        <x:v>Publique a aba Presentes no formato CSV.</x:v>
      </x:c>
    </x:row>
    <x:row r="7" ht="34" customHeight="1">
      <x:c r="A7" s="11" t="str">
        <x:v>4</x:v>
      </x:c>
      <x:c r="B7" s="11" t="str">
        <x:v>Copie a URL CSV gerada e cole no arquivo js/config.js do site.</x:v>
      </x:c>
    </x:row>
    <x:row r="8" ht="34" customHeight="1">
      <x:c r="A8" s="11" t="str">
        <x:v>5</x:v>
      </x:c>
      <x:c r="B8" s="11" t="str">
        <x:v>Atualize nome, descrição, valor líquido, taxa, imagem, link, categoria, ordem e ativo diretamente na planilha.</x:v>
      </x:c>
    </x:row>
    <x:row r="9" ht="34" customHeight="1">
      <x:c r="A9" s="11" t="str">
        <x:v>6</x:v>
      </x:c>
      <x:c r="B9" s="11" t="str">
        <x:v>A coluna valor é calculada automaticamente: valor líquido ÷ (1 − taxa).</x:v>
      </x:c>
    </x:row>
    <x:row r="10" ht="34" customHeight="1">
      <x:c r="A10" s="11" t="str">
        <x:v>7</x:v>
      </x:c>
      <x:c r="B10" s="11" t="str">
        <x:v>Use SIM para exibir o presente e NÃO para ocultá-lo do site.</x:v>
      </x:c>
    </x:row>
    <x:row r="11" ht="34" customHeight="1">
      <x:c r="A11" s="11" t="str">
        <x:v>8</x:v>
      </x:c>
      <x:c r="B11" s="11" t="str">
        <x:v>Não altere os nomes da primeira linha, pois o site depende desses cabeçalhos.</x:v>
      </x:c>
    </x:row>
    <x:row r="12" ht="34" customHeight="1">
      <x:c r="A12" s="11"/>
      <x:c r="B12" s="11"/>
    </x:row>
  </x:sheetData>
  <x:mergeCells>
    <x:mergeCell ref="A1:F1"/>
  </x:mergeCells>
  <x:pageMargins left="0.7" right="0.7" top="0.75" bottom="0.75" header="0.3" footer="0.3"/>
</x:worksheet>
</file>